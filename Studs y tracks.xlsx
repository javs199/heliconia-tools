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V\Desktop\Proyectos\Heliconia\Camas\"/>
    </mc:Choice>
  </mc:AlternateContent>
  <xr:revisionPtr revIDLastSave="0" documentId="8_{47851F00-E8C7-4CFA-B86E-2FD0BE42B2E6}" xr6:coauthVersionLast="47" xr6:coauthVersionMax="47" xr10:uidLastSave="{00000000-0000-0000-0000-000000000000}"/>
  <bookViews>
    <workbookView xWindow="-120" yWindow="-120" windowWidth="38640" windowHeight="21120" xr2:uid="{0254A5E4-3899-47E9-98B0-1333417D93A7}"/>
  </bookViews>
  <sheets>
    <sheet name="Studs y tracks" sheetId="1" r:id="rId1"/>
  </sheets>
  <calcPr calcId="0"/>
</workbook>
</file>

<file path=xl/calcChain.xml><?xml version="1.0" encoding="utf-8"?>
<calcChain xmlns="http://schemas.openxmlformats.org/spreadsheetml/2006/main">
  <c r="G28" i="1" l="1"/>
  <c r="G27" i="1"/>
  <c r="G26" i="1"/>
  <c r="C26" i="1"/>
  <c r="D26" i="1"/>
  <c r="B26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I2" i="1"/>
  <c r="I3" i="1"/>
  <c r="I4" i="1"/>
</calcChain>
</file>

<file path=xl/sharedStrings.xml><?xml version="1.0" encoding="utf-8"?>
<sst xmlns="http://schemas.openxmlformats.org/spreadsheetml/2006/main" count="34" uniqueCount="9">
  <si>
    <t>Pieza</t>
  </si>
  <si>
    <t>Cantidad</t>
  </si>
  <si>
    <t>Largo (in)</t>
  </si>
  <si>
    <t>Stud</t>
  </si>
  <si>
    <t>Track</t>
  </si>
  <si>
    <t>Columna1</t>
  </si>
  <si>
    <t>Total longitud Tracks (in)</t>
  </si>
  <si>
    <t>Barras necesarias Studs (3m)</t>
  </si>
  <si>
    <t>Barras necesarias Tracks (3m)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</si>
</sst>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ont="1" applyFill="1" applyBorder="1"/>
    <xf numFmtId="0" fontId="0" fillId="33" borderId="11" xfId="0" applyFont="1" applyFill="1" applyBorder="1"/>
    <xf numFmtId="0" fontId="0" fillId="33" borderId="12" xfId="0" applyFont="1" applyFill="1" applyBorder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DF6746-6C84-42CC-B57E-9B31206DA0FC}" name="StudsYTracks" displayName="StudsYTracks" ref="A1:D26" totalsRowCount="1">
  <autoFilter ref="A1:D25" xr:uid="{4DDF6746-6C84-42CC-B57E-9B31206DA0FC}"/>
  <tableColumns count="4">
    <tableColumn id="1" xr3:uid="{3936319C-00B2-4FC3-AB38-47250CB88E77}" name="Pieza"/>
    <tableColumn id="2" xr3:uid="{56FCB71E-9F7A-4C19-9548-A369F372EEEF}" name="Cantidad" totalsRowFunction="custom">
      <totalsRowFormula>SUM(StudsYTracks[Cantidad])</totalsRowFormula>
    </tableColumn>
    <tableColumn id="3" xr3:uid="{38D4BF56-26AF-44B4-A625-B0DEDE3345A9}" name="Largo (in)" totalsRowFunction="custom">
      <totalsRowFormula>SUM(StudsYTracks[Largo (in)])</totalsRowFormula>
    </tableColumn>
    <tableColumn id="7" xr3:uid="{B4F27245-EDEE-4656-936D-78E235BBF65D}" name="Columna1" totalsRowFunction="custom" dataDxfId="0">
      <calculatedColumnFormula>+StudsYTracks[[#This Row],[Largo (in)]]*StudsYTracks[[#This Row],[Cantidad]]</calculatedColumnFormula>
      <totalsRowFormula>SUM(StudsYTracks[Columna1])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FBBFB4E-7B78-4FB4-B8E6-7EC00D54481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db1e67b-3301-4732-8345-0babf09376f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77874AA-6E01-47E4-87C1-6090120CAD55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988e0a7b-0f5e-4889-a047-2ce9dda8324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103A-DE7A-4420-A033-5F451BDB779A}">
  <dimension ref="A1:I28"/>
  <sheetViews>
    <sheetView tabSelected="1" workbookViewId="0">
      <selection activeCell="F2" sqref="F2:F6"/>
    </sheetView>
  </sheetViews>
  <sheetFormatPr baseColWidth="10" defaultRowHeight="15" x14ac:dyDescent="0.25"/>
  <cols>
    <col min="1" max="1" width="8" bestFit="1" customWidth="1"/>
    <col min="2" max="2" width="11.140625" bestFit="1" customWidth="1"/>
    <col min="3" max="3" width="11.5703125" bestFit="1" customWidth="1"/>
    <col min="6" max="6" width="27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5</v>
      </c>
    </row>
    <row r="2" spans="1:9" x14ac:dyDescent="0.25">
      <c r="A2" t="s">
        <v>3</v>
      </c>
      <c r="B2">
        <v>24</v>
      </c>
      <c r="C2">
        <v>62.88</v>
      </c>
      <c r="D2">
        <f>+StudsYTracks[[#This Row],[Largo (in)]]*StudsYTracks[[#This Row],[Cantidad]]</f>
        <v>1509.1200000000001</v>
      </c>
      <c r="F2" s="1" t="s">
        <v>4</v>
      </c>
      <c r="G2" s="2">
        <v>2</v>
      </c>
      <c r="H2" s="2">
        <v>63.16</v>
      </c>
      <c r="I2" s="3">
        <f>+StudsYTracks[[#This Row],[Largo (in)]]*StudsYTracks[[#This Row],[Cantidad]]</f>
        <v>1509.1200000000001</v>
      </c>
    </row>
    <row r="3" spans="1:9" x14ac:dyDescent="0.25">
      <c r="A3" t="s">
        <v>3</v>
      </c>
      <c r="B3">
        <v>8</v>
      </c>
      <c r="C3">
        <v>52.07</v>
      </c>
      <c r="D3">
        <f>+StudsYTracks[[#This Row],[Largo (in)]]*StudsYTracks[[#This Row],[Cantidad]]</f>
        <v>416.56</v>
      </c>
      <c r="F3" s="4" t="s">
        <v>4</v>
      </c>
      <c r="G3" s="5">
        <v>4</v>
      </c>
      <c r="H3" s="5">
        <v>94.4</v>
      </c>
      <c r="I3" s="6">
        <f>+StudsYTracks[[#This Row],[Largo (in)]]*StudsYTracks[[#This Row],[Cantidad]]</f>
        <v>416.56</v>
      </c>
    </row>
    <row r="4" spans="1:9" x14ac:dyDescent="0.25">
      <c r="A4" t="s">
        <v>3</v>
      </c>
      <c r="B4">
        <v>2</v>
      </c>
      <c r="C4">
        <v>59.36</v>
      </c>
      <c r="D4">
        <f>+StudsYTracks[[#This Row],[Largo (in)]]*StudsYTracks[[#This Row],[Cantidad]]</f>
        <v>118.72</v>
      </c>
      <c r="F4" s="1" t="s">
        <v>4</v>
      </c>
      <c r="G4" s="2">
        <v>6</v>
      </c>
      <c r="H4" s="2">
        <v>92.5</v>
      </c>
      <c r="I4" s="3">
        <f>+StudsYTracks[[#This Row],[Largo (in)]]*StudsYTracks[[#This Row],[Cantidad]]</f>
        <v>118.72</v>
      </c>
    </row>
    <row r="5" spans="1:9" x14ac:dyDescent="0.25">
      <c r="A5" t="s">
        <v>3</v>
      </c>
      <c r="B5">
        <v>4</v>
      </c>
      <c r="C5">
        <v>57.34</v>
      </c>
      <c r="D5">
        <f>+StudsYTracks[[#This Row],[Largo (in)]]*StudsYTracks[[#This Row],[Cantidad]]</f>
        <v>229.36</v>
      </c>
    </row>
    <row r="6" spans="1:9" x14ac:dyDescent="0.25">
      <c r="A6" t="s">
        <v>3</v>
      </c>
      <c r="B6">
        <v>18</v>
      </c>
      <c r="C6">
        <v>63.5</v>
      </c>
      <c r="D6">
        <f>+StudsYTracks[[#This Row],[Largo (in)]]*StudsYTracks[[#This Row],[Cantidad]]</f>
        <v>1143</v>
      </c>
    </row>
    <row r="7" spans="1:9" x14ac:dyDescent="0.25">
      <c r="A7" t="s">
        <v>3</v>
      </c>
      <c r="B7">
        <v>2</v>
      </c>
      <c r="C7">
        <v>62.12</v>
      </c>
      <c r="D7">
        <f>+StudsYTracks[[#This Row],[Largo (in)]]*StudsYTracks[[#This Row],[Cantidad]]</f>
        <v>124.24</v>
      </c>
    </row>
    <row r="8" spans="1:9" x14ac:dyDescent="0.25">
      <c r="A8" t="s">
        <v>3</v>
      </c>
      <c r="B8">
        <v>4</v>
      </c>
      <c r="C8">
        <v>90.5</v>
      </c>
      <c r="D8">
        <f>+StudsYTracks[[#This Row],[Largo (in)]]*StudsYTracks[[#This Row],[Cantidad]]</f>
        <v>362</v>
      </c>
    </row>
    <row r="9" spans="1:9" x14ac:dyDescent="0.25">
      <c r="A9" t="s">
        <v>3</v>
      </c>
      <c r="B9">
        <v>2</v>
      </c>
      <c r="C9">
        <v>60.24</v>
      </c>
      <c r="D9">
        <f>+StudsYTracks[[#This Row],[Largo (in)]]*StudsYTracks[[#This Row],[Cantidad]]</f>
        <v>120.48</v>
      </c>
    </row>
    <row r="10" spans="1:9" x14ac:dyDescent="0.25">
      <c r="A10" t="s">
        <v>3</v>
      </c>
      <c r="B10">
        <v>4</v>
      </c>
      <c r="C10">
        <v>60.68</v>
      </c>
      <c r="D10">
        <f>+StudsYTracks[[#This Row],[Largo (in)]]*StudsYTracks[[#This Row],[Cantidad]]</f>
        <v>242.72</v>
      </c>
    </row>
    <row r="11" spans="1:9" x14ac:dyDescent="0.25">
      <c r="A11" t="s">
        <v>3</v>
      </c>
      <c r="B11">
        <v>18</v>
      </c>
      <c r="C11">
        <v>59.5</v>
      </c>
      <c r="D11">
        <f>+StudsYTracks[[#This Row],[Largo (in)]]*StudsYTracks[[#This Row],[Cantidad]]</f>
        <v>1071</v>
      </c>
    </row>
    <row r="12" spans="1:9" x14ac:dyDescent="0.25">
      <c r="A12" t="s">
        <v>3</v>
      </c>
      <c r="B12">
        <v>4</v>
      </c>
      <c r="C12">
        <v>26.7</v>
      </c>
      <c r="D12">
        <f>+StudsYTracks[[#This Row],[Largo (in)]]*StudsYTracks[[#This Row],[Cantidad]]</f>
        <v>106.8</v>
      </c>
    </row>
    <row r="13" spans="1:9" x14ac:dyDescent="0.25">
      <c r="A13" t="s">
        <v>3</v>
      </c>
      <c r="B13">
        <v>4</v>
      </c>
      <c r="C13">
        <v>53</v>
      </c>
      <c r="D13">
        <f>+StudsYTracks[[#This Row],[Largo (in)]]*StudsYTracks[[#This Row],[Cantidad]]</f>
        <v>212</v>
      </c>
    </row>
    <row r="14" spans="1:9" x14ac:dyDescent="0.25">
      <c r="A14" t="s">
        <v>3</v>
      </c>
      <c r="B14">
        <v>2</v>
      </c>
      <c r="C14">
        <v>59.93</v>
      </c>
      <c r="D14">
        <f>+StudsYTracks[[#This Row],[Largo (in)]]*StudsYTracks[[#This Row],[Cantidad]]</f>
        <v>119.86</v>
      </c>
    </row>
    <row r="15" spans="1:9" x14ac:dyDescent="0.25">
      <c r="A15" t="s">
        <v>3</v>
      </c>
      <c r="B15">
        <v>4</v>
      </c>
      <c r="C15">
        <v>92.4</v>
      </c>
      <c r="D15">
        <f>+StudsYTracks[[#This Row],[Largo (in)]]*StudsYTracks[[#This Row],[Cantidad]]</f>
        <v>369.6</v>
      </c>
    </row>
    <row r="16" spans="1:9" x14ac:dyDescent="0.25">
      <c r="A16" t="s">
        <v>3</v>
      </c>
      <c r="B16">
        <v>2</v>
      </c>
      <c r="C16">
        <v>61.88</v>
      </c>
      <c r="D16">
        <f>+StudsYTracks[[#This Row],[Largo (in)]]*StudsYTracks[[#This Row],[Cantidad]]</f>
        <v>123.76</v>
      </c>
    </row>
    <row r="17" spans="1:7" x14ac:dyDescent="0.25">
      <c r="A17" t="s">
        <v>3</v>
      </c>
      <c r="B17">
        <v>8</v>
      </c>
      <c r="C17">
        <v>52.27</v>
      </c>
      <c r="D17">
        <f>+StudsYTracks[[#This Row],[Largo (in)]]*StudsYTracks[[#This Row],[Cantidad]]</f>
        <v>418.16</v>
      </c>
    </row>
    <row r="18" spans="1:7" x14ac:dyDescent="0.25">
      <c r="A18" t="s">
        <v>3</v>
      </c>
      <c r="B18">
        <v>8</v>
      </c>
      <c r="C18">
        <v>61.5</v>
      </c>
      <c r="D18">
        <f>+StudsYTracks[[#This Row],[Largo (in)]]*StudsYTracks[[#This Row],[Cantidad]]</f>
        <v>492</v>
      </c>
    </row>
    <row r="19" spans="1:7" x14ac:dyDescent="0.25">
      <c r="A19" t="s">
        <v>3</v>
      </c>
      <c r="B19">
        <v>2</v>
      </c>
      <c r="C19">
        <v>90.78</v>
      </c>
      <c r="D19">
        <f>+StudsYTracks[[#This Row],[Largo (in)]]*StudsYTracks[[#This Row],[Cantidad]]</f>
        <v>181.56</v>
      </c>
    </row>
    <row r="20" spans="1:7" x14ac:dyDescent="0.25">
      <c r="A20" t="s">
        <v>3</v>
      </c>
      <c r="B20">
        <v>2</v>
      </c>
      <c r="C20">
        <v>26.5</v>
      </c>
      <c r="D20">
        <f>+StudsYTracks[[#This Row],[Largo (in)]]*StudsYTracks[[#This Row],[Cantidad]]</f>
        <v>53</v>
      </c>
    </row>
    <row r="21" spans="1:7" x14ac:dyDescent="0.25">
      <c r="A21" t="s">
        <v>3</v>
      </c>
      <c r="B21">
        <v>2</v>
      </c>
      <c r="C21">
        <v>59.77</v>
      </c>
      <c r="D21">
        <f>+StudsYTracks[[#This Row],[Largo (in)]]*StudsYTracks[[#This Row],[Cantidad]]</f>
        <v>119.54</v>
      </c>
    </row>
    <row r="22" spans="1:7" x14ac:dyDescent="0.25">
      <c r="A22" t="s">
        <v>3</v>
      </c>
      <c r="B22">
        <v>2</v>
      </c>
      <c r="C22">
        <v>30.75</v>
      </c>
      <c r="D22">
        <f>+StudsYTracks[[#This Row],[Largo (in)]]*StudsYTracks[[#This Row],[Cantidad]]</f>
        <v>61.5</v>
      </c>
    </row>
    <row r="23" spans="1:7" x14ac:dyDescent="0.25">
      <c r="A23" t="s">
        <v>3</v>
      </c>
      <c r="B23">
        <v>6</v>
      </c>
      <c r="C23">
        <v>29.75</v>
      </c>
      <c r="D23">
        <f>+StudsYTracks[[#This Row],[Largo (in)]]*StudsYTracks[[#This Row],[Cantidad]]</f>
        <v>178.5</v>
      </c>
    </row>
    <row r="24" spans="1:7" x14ac:dyDescent="0.25">
      <c r="A24" t="s">
        <v>3</v>
      </c>
      <c r="B24">
        <v>6</v>
      </c>
      <c r="C24">
        <v>29.52</v>
      </c>
      <c r="D24">
        <f>+StudsYTracks[[#This Row],[Largo (in)]]*StudsYTracks[[#This Row],[Cantidad]]</f>
        <v>177.12</v>
      </c>
    </row>
    <row r="25" spans="1:7" x14ac:dyDescent="0.25">
      <c r="A25" t="s">
        <v>3</v>
      </c>
      <c r="B25">
        <v>10</v>
      </c>
      <c r="C25">
        <v>14.55</v>
      </c>
      <c r="D25">
        <f>+StudsYTracks[[#This Row],[Largo (in)]]*StudsYTracks[[#This Row],[Cantidad]]</f>
        <v>145.5</v>
      </c>
    </row>
    <row r="26" spans="1:7" x14ac:dyDescent="0.25">
      <c r="B26">
        <f>SUM(StudsYTracks[Cantidad])</f>
        <v>148</v>
      </c>
      <c r="C26">
        <f>SUM(StudsYTracks[Largo (in)])</f>
        <v>1317.4899999999998</v>
      </c>
      <c r="D26">
        <f>SUM(StudsYTracks[Columna1])</f>
        <v>8096.1</v>
      </c>
      <c r="F26" t="s">
        <v>6</v>
      </c>
      <c r="G26">
        <f>SUMPRODUCT(G2:G4,H2:H4)</f>
        <v>1058.92</v>
      </c>
    </row>
    <row r="27" spans="1:7" x14ac:dyDescent="0.25">
      <c r="F27" t="s">
        <v>7</v>
      </c>
      <c r="G27">
        <f>CEILING(D26/118.11,1)</f>
        <v>69</v>
      </c>
    </row>
    <row r="28" spans="1:7" x14ac:dyDescent="0.25">
      <c r="F28" t="s">
        <v>8</v>
      </c>
      <c r="G28">
        <f>CEILING(G26/118.11,1)</f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Studs y tracks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Vargas</dc:creator>
  <cp:lastModifiedBy>Jesús Vargas</cp:lastModifiedBy>
  <dcterms:created xsi:type="dcterms:W3CDTF">2026-06-15T02:39:51Z</dcterms:created>
  <dcterms:modified xsi:type="dcterms:W3CDTF">2026-06-15T02:39:51Z</dcterms:modified>
</cp:coreProperties>
</file>